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جزوات ترم 2\کارگاه کامپیوتر\تمارین\"/>
    </mc:Choice>
  </mc:AlternateContent>
  <xr:revisionPtr revIDLastSave="0" documentId="11_476134C3E30F7E9F94107214728854C3AF4B7A1A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لیست حقو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H4" i="1"/>
  <c r="H5" i="1"/>
  <c r="H6" i="1"/>
  <c r="H7" i="1"/>
  <c r="H8" i="1"/>
  <c r="H9" i="1"/>
  <c r="H10" i="1"/>
  <c r="H11" i="1"/>
  <c r="H3" i="1"/>
  <c r="B14" i="1" l="1"/>
  <c r="I6" i="1" s="1"/>
  <c r="B15" i="1"/>
  <c r="B16" i="1"/>
  <c r="B17" i="1"/>
  <c r="I10" i="1" l="1"/>
  <c r="I3" i="1"/>
  <c r="I5" i="1"/>
  <c r="I8" i="1"/>
  <c r="I7" i="1"/>
  <c r="I4" i="1"/>
  <c r="I11" i="1"/>
  <c r="I9" i="1"/>
</calcChain>
</file>

<file path=xl/sharedStrings.xml><?xml version="1.0" encoding="utf-8"?>
<sst xmlns="http://schemas.openxmlformats.org/spreadsheetml/2006/main" count="42" uniqueCount="37">
  <si>
    <t>نام</t>
  </si>
  <si>
    <t>نام خانوادگی</t>
  </si>
  <si>
    <t>علی</t>
  </si>
  <si>
    <t>رضایی</t>
  </si>
  <si>
    <t>محمد</t>
  </si>
  <si>
    <t>محمدی</t>
  </si>
  <si>
    <t>حسنی</t>
  </si>
  <si>
    <t>میانگین حقوق</t>
  </si>
  <si>
    <t>فاطمه</t>
  </si>
  <si>
    <t>وضعیت حقوق</t>
  </si>
  <si>
    <t>رضا</t>
  </si>
  <si>
    <t>نادری</t>
  </si>
  <si>
    <t>امیررضا</t>
  </si>
  <si>
    <t>حسینی</t>
  </si>
  <si>
    <t>ارشیا</t>
  </si>
  <si>
    <t>عبدی</t>
  </si>
  <si>
    <t>محمدرضا</t>
  </si>
  <si>
    <t>مرادی</t>
  </si>
  <si>
    <t>تعداد کارمندان</t>
  </si>
  <si>
    <t>شماره
 پرسنلی</t>
  </si>
  <si>
    <t>حقوق پایه</t>
  </si>
  <si>
    <t>واحد</t>
  </si>
  <si>
    <t>اضافه کار</t>
  </si>
  <si>
    <t>کسر کار</t>
  </si>
  <si>
    <t>بیشترین حقوق</t>
  </si>
  <si>
    <t>کمترین حقوق</t>
  </si>
  <si>
    <t>علیرضا</t>
  </si>
  <si>
    <t>لطفی</t>
  </si>
  <si>
    <t>محسن</t>
  </si>
  <si>
    <t>علیزاده</t>
  </si>
  <si>
    <t>اداری</t>
  </si>
  <si>
    <t>بایگانی</t>
  </si>
  <si>
    <t>فنی</t>
  </si>
  <si>
    <t>خدمات</t>
  </si>
  <si>
    <t>مجموع حقوق 
قابل پرداخت</t>
  </si>
  <si>
    <t>حقوق
 قابل پرداخت</t>
  </si>
  <si>
    <t>فهرست حقوق کارکنان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</si>
</sst>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8"/>
      <color theme="1"/>
      <name val="B Titr"/>
      <charset val="178"/>
    </font>
    <font>
      <sz val="8"/>
      <color rgb="FFFF0000"/>
      <name val="B Titr"/>
      <charset val="178"/>
    </font>
    <font>
      <sz val="11"/>
      <color rgb="FFFF0000"/>
      <name val="B Titr"/>
      <charset val="178"/>
    </font>
    <font>
      <sz val="9"/>
      <color rgb="FFFF0000"/>
      <name val="B Titr"/>
      <charset val="178"/>
    </font>
    <font>
      <sz val="11"/>
      <name val="B Titr"/>
      <charset val="178"/>
    </font>
    <font>
      <sz val="8"/>
      <name val="B Titr"/>
      <charset val="178"/>
    </font>
    <font>
      <sz val="10"/>
      <name val="B Titr"/>
      <charset val="178"/>
    </font>
    <font>
      <sz val="20"/>
      <color rgb="FF002060"/>
      <name val="B Titr"/>
      <charset val="178"/>
    </font>
    <font>
      <sz val="20"/>
      <color rgb="FF002060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Titr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Titr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Titr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Titr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Titr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Titr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Titr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Titr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B Titr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EFBC2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a-IR">
                <a:cs typeface="B Titr" pitchFamily="2" charset="-78"/>
              </a:rPr>
              <a:t>حقوق قابل پرداخت</a:t>
            </a:r>
            <a:endParaRPr lang="en-US">
              <a:cs typeface="B Titr" pitchFamily="2" charset="-78"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علی رضایی</c:v>
          </c:tx>
          <c:invertIfNegative val="0"/>
          <c:val>
            <c:numRef>
              <c:f>'لیست حقوق'!$H$3</c:f>
              <c:numCache>
                <c:formatCode>#,##0</c:formatCode>
                <c:ptCount val="1"/>
                <c:pt idx="0">
                  <c:v>27000000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4-4B85-A997-3606A25BE3F1}"/>
            </c:ext>
          </c:extLst>
        </c:ser>
        <c:ser>
          <c:idx val="1"/>
          <c:order val="1"/>
          <c:tx>
            <c:v>محمد محمدی</c:v>
          </c:tx>
          <c:invertIfNegative val="0"/>
          <c:val>
            <c:numRef>
              <c:f>'لیست حقوق'!$H$4</c:f>
              <c:numCache>
                <c:formatCode>#,##0</c:formatCode>
                <c:ptCount val="1"/>
                <c:pt idx="0">
                  <c:v>25000000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4-4B85-A997-3606A25BE3F1}"/>
            </c:ext>
          </c:extLst>
        </c:ser>
        <c:ser>
          <c:idx val="2"/>
          <c:order val="2"/>
          <c:tx>
            <c:strRef>
              <c:f>'لیست حقوق'!$B$5:$C$5</c:f>
              <c:strCache>
                <c:ptCount val="2"/>
                <c:pt idx="0">
                  <c:v>فاطمه</c:v>
                </c:pt>
                <c:pt idx="1">
                  <c:v>حسنی</c:v>
                </c:pt>
              </c:strCache>
            </c:strRef>
          </c:tx>
          <c:invertIfNegative val="0"/>
          <c:val>
            <c:numRef>
              <c:f>'لیست حقوق'!$H$5</c:f>
              <c:numCache>
                <c:formatCode>#,##0</c:formatCode>
                <c:ptCount val="1"/>
                <c:pt idx="0">
                  <c:v>29500000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4-4B85-A997-3606A25BE3F1}"/>
            </c:ext>
          </c:extLst>
        </c:ser>
        <c:ser>
          <c:idx val="3"/>
          <c:order val="3"/>
          <c:tx>
            <c:strRef>
              <c:f>'لیست حقوق'!$B$6:$C$6</c:f>
              <c:strCache>
                <c:ptCount val="2"/>
                <c:pt idx="0">
                  <c:v>رضا</c:v>
                </c:pt>
                <c:pt idx="1">
                  <c:v>نادری</c:v>
                </c:pt>
              </c:strCache>
            </c:strRef>
          </c:tx>
          <c:invertIfNegative val="0"/>
          <c:val>
            <c:numRef>
              <c:f>'لیست حقوق'!$H$6</c:f>
              <c:numCache>
                <c:formatCode>#,##0</c:formatCode>
                <c:ptCount val="1"/>
                <c:pt idx="0">
                  <c:v>24000000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E4-4B85-A997-3606A25BE3F1}"/>
            </c:ext>
          </c:extLst>
        </c:ser>
        <c:ser>
          <c:idx val="4"/>
          <c:order val="4"/>
          <c:tx>
            <c:strRef>
              <c:f>'لیست حقوق'!$B$7:$C$7</c:f>
              <c:strCache>
                <c:ptCount val="2"/>
                <c:pt idx="0">
                  <c:v>امیررضا</c:v>
                </c:pt>
                <c:pt idx="1">
                  <c:v>حسینی</c:v>
                </c:pt>
              </c:strCache>
            </c:strRef>
          </c:tx>
          <c:invertIfNegative val="0"/>
          <c:val>
            <c:numRef>
              <c:f>'لیست حقوق'!$H$7</c:f>
              <c:numCache>
                <c:formatCode>#,##0</c:formatCode>
                <c:ptCount val="1"/>
                <c:pt idx="0">
                  <c:v>25500000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E4-4B85-A997-3606A25BE3F1}"/>
            </c:ext>
          </c:extLst>
        </c:ser>
        <c:ser>
          <c:idx val="5"/>
          <c:order val="5"/>
          <c:tx>
            <c:strRef>
              <c:f>'لیست حقوق'!$B$8:$C$8</c:f>
              <c:strCache>
                <c:ptCount val="2"/>
                <c:pt idx="0">
                  <c:v>ارشیا</c:v>
                </c:pt>
                <c:pt idx="1">
                  <c:v>عبدی</c:v>
                </c:pt>
              </c:strCache>
            </c:strRef>
          </c:tx>
          <c:invertIfNegative val="0"/>
          <c:val>
            <c:numRef>
              <c:f>'لیست حقوق'!$H$8</c:f>
              <c:numCache>
                <c:formatCode>#,##0</c:formatCode>
                <c:ptCount val="1"/>
                <c:pt idx="0">
                  <c:v>33000000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E4-4B85-A997-3606A25BE3F1}"/>
            </c:ext>
          </c:extLst>
        </c:ser>
        <c:ser>
          <c:idx val="6"/>
          <c:order val="6"/>
          <c:tx>
            <c:strRef>
              <c:f>'لیست حقوق'!$B$9:$C$9</c:f>
              <c:strCache>
                <c:ptCount val="2"/>
                <c:pt idx="0">
                  <c:v>محمدرضا</c:v>
                </c:pt>
                <c:pt idx="1">
                  <c:v>مرادی</c:v>
                </c:pt>
              </c:strCache>
            </c:strRef>
          </c:tx>
          <c:invertIfNegative val="0"/>
          <c:val>
            <c:numRef>
              <c:f>'لیست حقوق'!$H$9</c:f>
              <c:numCache>
                <c:formatCode>#,##0</c:formatCode>
                <c:ptCount val="1"/>
                <c:pt idx="0">
                  <c:v>29200000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E4-4B85-A997-3606A25BE3F1}"/>
            </c:ext>
          </c:extLst>
        </c:ser>
        <c:ser>
          <c:idx val="7"/>
          <c:order val="7"/>
          <c:tx>
            <c:strRef>
              <c:f>'لیست حقوق'!$B$10:$C$10</c:f>
              <c:strCache>
                <c:ptCount val="2"/>
                <c:pt idx="0">
                  <c:v>علیرضا</c:v>
                </c:pt>
                <c:pt idx="1">
                  <c:v>لطفی</c:v>
                </c:pt>
              </c:strCache>
            </c:strRef>
          </c:tx>
          <c:invertIfNegative val="0"/>
          <c:val>
            <c:numRef>
              <c:f>'لیست حقوق'!$H$10</c:f>
              <c:numCache>
                <c:formatCode>#,##0</c:formatCode>
                <c:ptCount val="1"/>
                <c:pt idx="0">
                  <c:v>36000000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E4-4B85-A997-3606A25BE3F1}"/>
            </c:ext>
          </c:extLst>
        </c:ser>
        <c:ser>
          <c:idx val="8"/>
          <c:order val="8"/>
          <c:tx>
            <c:strRef>
              <c:f>'لیست حقوق'!$B$11:$C$11</c:f>
              <c:strCache>
                <c:ptCount val="2"/>
                <c:pt idx="0">
                  <c:v>محسن</c:v>
                </c:pt>
                <c:pt idx="1">
                  <c:v>علیزاده</c:v>
                </c:pt>
              </c:strCache>
            </c:strRef>
          </c:tx>
          <c:invertIfNegative val="0"/>
          <c:val>
            <c:numRef>
              <c:f>'لیست حقوق'!$H$11</c:f>
              <c:numCache>
                <c:formatCode>#,##0</c:formatCode>
                <c:ptCount val="1"/>
                <c:pt idx="0">
                  <c:v>24500000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E4-4B85-A997-3606A25BE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965120"/>
        <c:axId val="218966656"/>
      </c:barChart>
      <c:catAx>
        <c:axId val="218965120"/>
        <c:scaling>
          <c:orientation val="maxMin"/>
        </c:scaling>
        <c:delete val="0"/>
        <c:axPos val="b"/>
        <c:majorTickMark val="none"/>
        <c:minorTickMark val="none"/>
        <c:tickLblPos val="nextTo"/>
        <c:crossAx val="218966656"/>
        <c:crosses val="autoZero"/>
        <c:auto val="1"/>
        <c:lblAlgn val="ctr"/>
        <c:lblOffset val="100"/>
        <c:noMultiLvlLbl val="0"/>
      </c:catAx>
      <c:valAx>
        <c:axId val="218966656"/>
        <c:scaling>
          <c:orientation val="minMax"/>
        </c:scaling>
        <c:delete val="0"/>
        <c:axPos val="r"/>
        <c:majorGridlines/>
        <c:numFmt formatCode="#,##0" sourceLinked="1"/>
        <c:majorTickMark val="none"/>
        <c:minorTickMark val="none"/>
        <c:tickLblPos val="nextTo"/>
        <c:crossAx val="218965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197939</xdr:colOff>
      <xdr:row>11</xdr:row>
      <xdr:rowOff>136680</xdr:rowOff>
    </xdr:from>
    <xdr:to>
      <xdr:col>8</xdr:col>
      <xdr:colOff>794287</xdr:colOff>
      <xdr:row>23</xdr:row>
      <xdr:rowOff>57167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2:I11" totalsRowShown="0" headerRowDxfId="17" dataDxfId="15" headerRowBorderDxfId="16" tableBorderDxfId="14" totalsRowBorderDxfId="13">
  <autoFilter ref="A2:I11" xr:uid="{00000000-0009-0000-0100-000004000000}"/>
  <tableColumns count="9">
    <tableColumn id="1" xr3:uid="{00000000-0010-0000-0000-000001000000}" name="شماره_x000a_ پرسنلی" dataDxfId="12"/>
    <tableColumn id="2" xr3:uid="{00000000-0010-0000-0000-000002000000}" name="نام" dataDxfId="11"/>
    <tableColumn id="3" xr3:uid="{00000000-0010-0000-0000-000003000000}" name="نام خانوادگی" dataDxfId="10"/>
    <tableColumn id="4" xr3:uid="{00000000-0010-0000-0000-000004000000}" name="واحد" dataDxfId="9"/>
    <tableColumn id="5" xr3:uid="{00000000-0010-0000-0000-000005000000}" name="حقوق پایه" dataDxfId="8"/>
    <tableColumn id="6" xr3:uid="{00000000-0010-0000-0000-000006000000}" name="اضافه کار" dataDxfId="7"/>
    <tableColumn id="7" xr3:uid="{00000000-0010-0000-0000-000007000000}" name="کسر کار" dataDxfId="6"/>
    <tableColumn id="8" xr3:uid="{00000000-0010-0000-0000-000008000000}" name="حقوق_x000a_ قابل پرداخت" dataDxfId="5">
      <calculatedColumnFormula>SUM(E3:F3)-G3</calculatedColumnFormula>
    </tableColumn>
    <tableColumn id="9" xr3:uid="{00000000-0010-0000-0000-000009000000}" name="وضعیت حقوق" dataDxfId="4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rightToLeft="1" tabSelected="1" view="pageBreakPreview" zoomScale="102" zoomScaleNormal="130" zoomScaleSheetLayoutView="102" workbookViewId="0">
      <selection activeCell="M8" sqref="M8"/>
    </sheetView>
  </sheetViews>
  <sheetFormatPr defaultRowHeight="13.8" x14ac:dyDescent="0.25"/>
  <cols>
    <col min="1" max="1" width="8.59765625" customWidth="1"/>
    <col min="2" max="2" width="9.59765625" customWidth="1"/>
    <col min="3" max="3" width="11" customWidth="1"/>
    <col min="4" max="4" width="6.19921875" customWidth="1"/>
    <col min="5" max="5" width="8.59765625" customWidth="1"/>
    <col min="9" max="9" width="10.59765625" bestFit="1" customWidth="1"/>
  </cols>
  <sheetData>
    <row r="1" spans="1:9" ht="34.200000000000003" customHeight="1" thickBot="1" x14ac:dyDescent="0.3">
      <c r="A1" s="27" t="s">
        <v>36</v>
      </c>
      <c r="B1" s="28"/>
      <c r="C1" s="28"/>
      <c r="D1" s="28"/>
      <c r="E1" s="28"/>
      <c r="F1" s="28"/>
      <c r="G1" s="28"/>
      <c r="H1" s="28"/>
      <c r="I1" s="29"/>
    </row>
    <row r="2" spans="1:9" ht="32.4" x14ac:dyDescent="0.25">
      <c r="A2" s="12" t="s">
        <v>19</v>
      </c>
      <c r="B2" s="9" t="s">
        <v>0</v>
      </c>
      <c r="C2" s="9" t="s">
        <v>1</v>
      </c>
      <c r="D2" s="9" t="s">
        <v>21</v>
      </c>
      <c r="E2" s="9" t="s">
        <v>20</v>
      </c>
      <c r="F2" s="9" t="s">
        <v>22</v>
      </c>
      <c r="G2" s="9" t="s">
        <v>23</v>
      </c>
      <c r="H2" s="13" t="s">
        <v>35</v>
      </c>
      <c r="I2" s="18" t="s">
        <v>9</v>
      </c>
    </row>
    <row r="3" spans="1:9" ht="22.2" x14ac:dyDescent="0.25">
      <c r="A3" s="14">
        <v>123</v>
      </c>
      <c r="B3" s="19" t="s">
        <v>2</v>
      </c>
      <c r="C3" s="19" t="s">
        <v>3</v>
      </c>
      <c r="D3" s="19" t="s">
        <v>30</v>
      </c>
      <c r="E3" s="10">
        <v>25000000</v>
      </c>
      <c r="F3" s="10">
        <v>3000000</v>
      </c>
      <c r="G3" s="10">
        <v>1000000</v>
      </c>
      <c r="H3" s="10">
        <f>SUM(E3:F3)-G3</f>
        <v>27000000</v>
      </c>
      <c r="I3" s="15" t="str">
        <f>IF(H3&gt;B14,"بالا","معمولی")</f>
        <v>معمولی</v>
      </c>
    </row>
    <row r="4" spans="1:9" ht="22.2" x14ac:dyDescent="0.25">
      <c r="A4" s="14">
        <v>456</v>
      </c>
      <c r="B4" s="19" t="s">
        <v>4</v>
      </c>
      <c r="C4" s="19" t="s">
        <v>5</v>
      </c>
      <c r="D4" s="19" t="s">
        <v>30</v>
      </c>
      <c r="E4" s="10">
        <v>25000000</v>
      </c>
      <c r="F4" s="10">
        <v>0</v>
      </c>
      <c r="G4" s="10">
        <v>0</v>
      </c>
      <c r="H4" s="10">
        <f t="shared" ref="H4:H11" si="0">SUM(E4:F4)-G4</f>
        <v>25000000</v>
      </c>
      <c r="I4" s="15" t="str">
        <f>IF(H4&gt;B14,"بالا","معمولی")</f>
        <v>معمولی</v>
      </c>
    </row>
    <row r="5" spans="1:9" ht="22.2" x14ac:dyDescent="0.25">
      <c r="A5" s="14">
        <v>789</v>
      </c>
      <c r="B5" s="19" t="s">
        <v>8</v>
      </c>
      <c r="C5" s="19" t="s">
        <v>6</v>
      </c>
      <c r="D5" s="19" t="s">
        <v>30</v>
      </c>
      <c r="E5" s="10">
        <v>25000000</v>
      </c>
      <c r="F5" s="10">
        <v>5000000</v>
      </c>
      <c r="G5" s="10">
        <v>500000</v>
      </c>
      <c r="H5" s="10">
        <f t="shared" si="0"/>
        <v>29500000</v>
      </c>
      <c r="I5" s="15" t="str">
        <f>IF(H5&gt;B14,"بالا","معمولی")</f>
        <v>بالا</v>
      </c>
    </row>
    <row r="6" spans="1:9" ht="22.2" x14ac:dyDescent="0.25">
      <c r="A6" s="14">
        <v>1011</v>
      </c>
      <c r="B6" s="19" t="s">
        <v>10</v>
      </c>
      <c r="C6" s="19" t="s">
        <v>11</v>
      </c>
      <c r="D6" s="19" t="s">
        <v>31</v>
      </c>
      <c r="E6" s="10">
        <v>24000000</v>
      </c>
      <c r="F6" s="10">
        <v>2000000</v>
      </c>
      <c r="G6" s="10">
        <v>2000000</v>
      </c>
      <c r="H6" s="10">
        <f t="shared" si="0"/>
        <v>24000000</v>
      </c>
      <c r="I6" s="15" t="str">
        <f>IF(H6&gt;B14,"بالا","معمولی")</f>
        <v>معمولی</v>
      </c>
    </row>
    <row r="7" spans="1:9" ht="22.2" x14ac:dyDescent="0.25">
      <c r="A7" s="14">
        <v>1213</v>
      </c>
      <c r="B7" s="19" t="s">
        <v>12</v>
      </c>
      <c r="C7" s="19" t="s">
        <v>13</v>
      </c>
      <c r="D7" s="19" t="s">
        <v>31</v>
      </c>
      <c r="E7" s="10">
        <v>24000000</v>
      </c>
      <c r="F7" s="10">
        <v>2000000</v>
      </c>
      <c r="G7" s="10">
        <v>500000</v>
      </c>
      <c r="H7" s="10">
        <f t="shared" si="0"/>
        <v>25500000</v>
      </c>
      <c r="I7" s="15" t="str">
        <f>IF(H7&gt;B14,"بالا","معمولی")</f>
        <v>معمولی</v>
      </c>
    </row>
    <row r="8" spans="1:9" ht="22.2" x14ac:dyDescent="0.25">
      <c r="A8" s="14">
        <v>1415</v>
      </c>
      <c r="B8" s="19" t="s">
        <v>14</v>
      </c>
      <c r="C8" s="19" t="s">
        <v>15</v>
      </c>
      <c r="D8" s="19" t="s">
        <v>32</v>
      </c>
      <c r="E8" s="10">
        <v>30000000</v>
      </c>
      <c r="F8" s="10">
        <v>6000000</v>
      </c>
      <c r="G8" s="10">
        <v>3000000</v>
      </c>
      <c r="H8" s="10">
        <f t="shared" si="0"/>
        <v>33000000</v>
      </c>
      <c r="I8" s="15" t="str">
        <f>IF(H8&gt;B14,"بالا","معمولی")</f>
        <v>بالا</v>
      </c>
    </row>
    <row r="9" spans="1:9" ht="22.2" customHeight="1" x14ac:dyDescent="0.25">
      <c r="A9" s="14">
        <v>1617</v>
      </c>
      <c r="B9" s="19" t="s">
        <v>16</v>
      </c>
      <c r="C9" s="19" t="s">
        <v>17</v>
      </c>
      <c r="D9" s="19" t="s">
        <v>32</v>
      </c>
      <c r="E9" s="10">
        <v>30000000</v>
      </c>
      <c r="F9" s="10">
        <v>0</v>
      </c>
      <c r="G9" s="10">
        <v>800000</v>
      </c>
      <c r="H9" s="10">
        <f t="shared" si="0"/>
        <v>29200000</v>
      </c>
      <c r="I9" s="15" t="str">
        <f>IF(H9&gt;B14,"بالا","معمولی")</f>
        <v>بالا</v>
      </c>
    </row>
    <row r="10" spans="1:9" ht="22.2" customHeight="1" x14ac:dyDescent="0.25">
      <c r="A10" s="14">
        <v>1819</v>
      </c>
      <c r="B10" s="19" t="s">
        <v>26</v>
      </c>
      <c r="C10" s="20" t="s">
        <v>27</v>
      </c>
      <c r="D10" s="19" t="s">
        <v>32</v>
      </c>
      <c r="E10" s="10">
        <v>35000000</v>
      </c>
      <c r="F10" s="10">
        <v>3000000</v>
      </c>
      <c r="G10" s="10">
        <v>2000000</v>
      </c>
      <c r="H10" s="10">
        <f t="shared" si="0"/>
        <v>36000000</v>
      </c>
      <c r="I10" s="15" t="str">
        <f>IF(H10&gt;B14,"بالا","معمولی")</f>
        <v>بالا</v>
      </c>
    </row>
    <row r="11" spans="1:9" ht="22.2" customHeight="1" x14ac:dyDescent="0.25">
      <c r="A11" s="16">
        <v>2021</v>
      </c>
      <c r="B11" s="21" t="s">
        <v>28</v>
      </c>
      <c r="C11" s="22" t="s">
        <v>29</v>
      </c>
      <c r="D11" s="21" t="s">
        <v>33</v>
      </c>
      <c r="E11" s="11">
        <v>22000000</v>
      </c>
      <c r="F11" s="11">
        <v>5000000</v>
      </c>
      <c r="G11" s="11">
        <v>2500000</v>
      </c>
      <c r="H11" s="11">
        <f t="shared" si="0"/>
        <v>24500000</v>
      </c>
      <c r="I11" s="17" t="str">
        <f>IF(H11&gt;B14,"بالا","معمولی")</f>
        <v>معمولی</v>
      </c>
    </row>
    <row r="12" spans="1:9" ht="22.2" customHeight="1" thickBot="1" x14ac:dyDescent="0.8">
      <c r="A12" s="2"/>
      <c r="B12" s="2"/>
      <c r="C12" s="2"/>
      <c r="D12" s="2"/>
      <c r="E12" s="2"/>
      <c r="F12" s="2"/>
      <c r="G12" s="2"/>
      <c r="H12" s="2"/>
      <c r="I12" s="2"/>
    </row>
    <row r="13" spans="1:9" ht="23.4" customHeight="1" x14ac:dyDescent="0.75">
      <c r="A13" s="6" t="s">
        <v>18</v>
      </c>
      <c r="B13" s="8">
        <f>COUNT(A3:A11)</f>
        <v>9</v>
      </c>
      <c r="C13" s="2"/>
      <c r="D13" s="1"/>
      <c r="E13" s="1"/>
      <c r="F13" s="1"/>
    </row>
    <row r="14" spans="1:9" ht="22.2" x14ac:dyDescent="0.25">
      <c r="A14" s="25" t="s">
        <v>7</v>
      </c>
      <c r="B14" s="26">
        <f>AVERAGE(H3:H11)</f>
        <v>28188888.888888888</v>
      </c>
      <c r="C14" s="3"/>
    </row>
    <row r="15" spans="1:9" ht="22.2" x14ac:dyDescent="0.75">
      <c r="A15" s="5" t="s">
        <v>24</v>
      </c>
      <c r="B15" s="23">
        <f>MAX(H3:H11)</f>
        <v>36000000</v>
      </c>
      <c r="C15" s="4"/>
    </row>
    <row r="16" spans="1:9" ht="18" x14ac:dyDescent="0.25">
      <c r="A16" s="25" t="s">
        <v>25</v>
      </c>
      <c r="B16" s="26">
        <f>MIN(H3:H11)</f>
        <v>24000000</v>
      </c>
    </row>
    <row r="17" spans="1:2" ht="31.8" customHeight="1" thickBot="1" x14ac:dyDescent="0.3">
      <c r="A17" s="7" t="s">
        <v>34</v>
      </c>
      <c r="B17" s="24">
        <f>SUM(H3:H11)</f>
        <v>253700000</v>
      </c>
    </row>
  </sheetData>
  <mergeCells count="1">
    <mergeCell ref="A1:I1"/>
  </mergeCells>
  <conditionalFormatting sqref="I3:I11">
    <cfRule type="containsText" dxfId="3" priority="1" operator="containsText" text="بالا">
      <formula>NOT(ISERROR(SEARCH("بالا",I3)))</formula>
    </cfRule>
    <cfRule type="containsText" dxfId="2" priority="2" operator="containsText" text="معمولی">
      <formula>NOT(ISERROR(SEARCH("معمولی",I3)))</formula>
    </cfRule>
  </conditionalFormatting>
  <conditionalFormatting sqref="I3:I12">
    <cfRule type="containsText" dxfId="1" priority="3" operator="containsText" text="خوب">
      <formula>NOT(ISERROR(SEARCH("خوب",I3)))</formula>
    </cfRule>
    <cfRule type="containsText" priority="4" operator="containsText" text="خوب">
      <formula>NOT(ISERROR(SEARCH("خوب",I3)))</formula>
    </cfRule>
    <cfRule type="containsText" dxfId="0" priority="5" operator="containsText" text="کم">
      <formula>NOT(ISERROR(SEARCH("کم",I3)))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حقوق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arshia 13031</cp:lastModifiedBy>
  <cp:lastPrinted>2026-05-07T16:19:08Z</cp:lastPrinted>
  <dcterms:created xsi:type="dcterms:W3CDTF">2026-05-02T06:51:46Z</dcterms:created>
  <dcterms:modified xsi:type="dcterms:W3CDTF">2026-05-07T19:52:33Z</dcterms:modified>
</cp:coreProperties>
</file>